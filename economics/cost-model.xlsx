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st per Question" sheetId="2" state="visible" r:id="rId2"/>
    <sheet xmlns:r="http://schemas.openxmlformats.org/officeDocument/2006/relationships" name="Volume Scaling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.00"/>
    <numFmt numFmtId="165" formatCode="0.0%"/>
    <numFmt numFmtId="166" formatCode="\$#,##0.000"/>
    <numFmt numFmtId="167" formatCode="\$#,##0.0000"/>
    <numFmt numFmtId="168" formatCode="\$#,##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7C2D12"/>
      <sz val="9"/>
    </font>
    <font>
      <name val="Arial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3" fontId="8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3" fontId="8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C2D12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2" customWidth="1" style="16" min="1" max="1"/>
    <col width="14" customWidth="1" style="16" min="2" max="2"/>
    <col width="16" customWidth="1" style="16" min="3" max="3"/>
    <col width="55" customWidth="1" style="16" min="4" max="4"/>
  </cols>
  <sheetData>
    <row r="1" ht="17.35" customHeight="1" s="17">
      <c r="A1" s="18" t="inlineStr">
        <is>
          <t>Sable Pulse - Cost Model Assumptions</t>
        </is>
      </c>
    </row>
    <row r="2" ht="15" customHeight="1" s="17">
      <c r="A2" s="19" t="inlineStr">
        <is>
          <t>Yellow cells = replace with your own estimate. State the source or basis in column D. Blue text = input; black = formula.</t>
        </is>
      </c>
    </row>
    <row r="3">
      <c r="A3" s="16" t="inlineStr">
        <is>
          <t>PM Judgment Call: rows 7-11 use Claude's real, published API rates (Claude Sonnet 5 = frontier tier, Claude Haiku 4.5 = cheap tier), sourced 2026-09-09, see column D for links. The real frontier/cheap gap is 2x, not the ~12x this template originally assumed as an example. The cascade % (row 11) reflects a safety-first routing rule: every ambiguous, adversarial (PII/injection), and refusal case always routes to the frontier model regardless of table complexity, to stay consistent with risk/risk-register.csv, which scores PII disclosure and prompt injection as P1 risks. Classified against the 20 real cases in evals/eval-set.csv: 15 of 20 route frontier (75%), 5 of 20 route cheap (25%).</t>
        </is>
      </c>
    </row>
    <row r="4" ht="15" customHeight="1" s="17">
      <c r="A4" s="20" t="inlineStr">
        <is>
          <t>Assumption</t>
        </is>
      </c>
      <c r="B4" s="20" t="inlineStr">
        <is>
          <t>Value</t>
        </is>
      </c>
      <c r="C4" s="20" t="inlineStr">
        <is>
          <t>Unit</t>
        </is>
      </c>
      <c r="D4" s="20" t="inlineStr">
        <is>
          <t>Source / basis (required)</t>
        </is>
      </c>
    </row>
    <row r="5" ht="15" customHeight="1" s="17">
      <c r="A5" s="21" t="inlineStr">
        <is>
          <t>Avg input tokens per question</t>
        </is>
      </c>
      <c r="B5" s="22" t="n">
        <v>4200</v>
      </c>
      <c r="C5" s="21" t="inlineStr">
        <is>
          <t>tokens</t>
        </is>
      </c>
      <c r="D5" s="23" t="inlineStr">
        <is>
          <t>Measured, not guessed - sum of: whole prototype/02-claude-project-instructions.md (9,228 chars -&gt; ~2,300 tokens), context/context-and-tools.md Data schema + Semantic layer sections only (4,167 chars -&gt; ~1,050 tokens), same file Tool definitions section only (2,467 chars -&gt; ~620 tokens), one retrieved example from prototype/03-qa-sql-pairs.md (7,978 chars / 10 examples -&gt; ~800 chars -&gt; ~200 tokens), plus a plain assumption for the live user question itself (~20 tokens, not from any file). Character counts are real; the 4-characters-per-token conversion is the standard rough approximation, not an exact tokenizer count.</t>
        </is>
      </c>
    </row>
    <row r="6" ht="15" customHeight="1" s="17">
      <c r="A6" s="21" t="inlineStr">
        <is>
          <t>Avg output tokens per question</t>
        </is>
      </c>
      <c r="B6" s="22" t="n">
        <v>380</v>
      </c>
      <c r="C6" s="21" t="inlineStr">
        <is>
          <t>tokens</t>
        </is>
      </c>
      <c r="D6" s="23" t="inlineStr">
        <is>
          <t>Measured, not guessed - transcribed the actual answer text from two real screenshots, prototype/Screenshots/gold-q1-net-revenue.png (1,437 characters) and prototype/Screenshots/gold-q9- Rev trend 6 months.png (1,595 characters), averaged to ~1,516 characters, divided by 4 -&gt; ~380 tokens. Replaces an earlier guess of 200 tokens, which undercounted by roughly half.</t>
        </is>
      </c>
    </row>
    <row r="7" ht="15" customHeight="1" s="17">
      <c r="A7" s="21" t="inlineStr">
        <is>
          <t>Frontier model (Claude Sonnet 5) - input rate</t>
        </is>
      </c>
      <c r="B7" s="24" t="n">
        <v>2</v>
      </c>
      <c r="C7" s="21" t="inlineStr">
        <is>
          <t>$ / 1M tokens</t>
        </is>
      </c>
      <c r="D7" s="23" t="inlineStr">
        <is>
          <t>REAL - Claude Sonnet 5 published API price, https://claude.com/pricing (checked 2026-09-09)</t>
        </is>
      </c>
    </row>
    <row r="8" ht="15" customHeight="1" s="17">
      <c r="A8" s="21" t="inlineStr">
        <is>
          <t>Frontier model (Claude Sonnet 5) - output rate</t>
        </is>
      </c>
      <c r="B8" s="24" t="n">
        <v>10</v>
      </c>
      <c r="C8" s="21" t="inlineStr">
        <is>
          <t>$ / 1M tokens</t>
        </is>
      </c>
      <c r="D8" s="23" t="inlineStr">
        <is>
          <t>REAL - Claude Sonnet 5 published API price, https://claude.com/pricing (checked 2026-09-09)</t>
        </is>
      </c>
    </row>
    <row r="9" ht="15" customHeight="1" s="17">
      <c r="A9" s="21" t="inlineStr">
        <is>
          <t>Cheap/small model (Claude Haiku 4.5) - input rate</t>
        </is>
      </c>
      <c r="B9" s="24" t="n">
        <v>1</v>
      </c>
      <c r="C9" s="21" t="inlineStr">
        <is>
          <t>$ / 1M tokens</t>
        </is>
      </c>
      <c r="D9" s="23" t="inlineStr">
        <is>
          <t>REAL - Claude Haiku 4.5 published API price, https://claude.com/pricing (checked 2026-09-09)</t>
        </is>
      </c>
    </row>
    <row r="10" ht="15" customHeight="1" s="17">
      <c r="A10" s="21" t="inlineStr">
        <is>
          <t>Cheap/small model (Claude Haiku 4.5) - output rate</t>
        </is>
      </c>
      <c r="B10" s="24" t="n">
        <v>5</v>
      </c>
      <c r="C10" s="21" t="inlineStr">
        <is>
          <t>$ / 1M tokens</t>
        </is>
      </c>
      <c r="D10" s="23" t="inlineStr">
        <is>
          <t>REAL - Claude Haiku 4.5 published API price, https://claude.com/pricing (checked 2026-09-09)</t>
        </is>
      </c>
    </row>
    <row r="11" ht="15" customHeight="1" s="17">
      <c r="A11" s="21" t="inlineStr">
        <is>
          <t>% questions routed to cheap model (cascade)</t>
        </is>
      </c>
      <c r="B11" s="25" t="n">
        <v>0.25</v>
      </c>
      <c r="C11" s="21" t="inlineStr">
        <is>
          <t>%</t>
        </is>
      </c>
      <c r="D11" s="23" t="inlineStr">
        <is>
          <t>PM Judgment Call, not a placeholder guess - classified all 20 cases in evals/eval-set.csv against the PRD's routing rule (single-table = cheap, multi-join/ambiguous = frontier), then moved every adversarial and refusal case to frontier too, to match risk-register.csv scoring those as P1. Result: 5 of 20 cases (25%) are genuinely simple and route cheap.</t>
        </is>
      </c>
    </row>
    <row r="12" ht="15" customHeight="1" s="17">
      <c r="A12" s="21" t="inlineStr">
        <is>
          <t>Retrieval overhead cost per question</t>
        </is>
      </c>
      <c r="B12" s="26" t="n">
        <v>0.002</v>
      </c>
      <c r="C12" s="21" t="inlineStr">
        <is>
          <t>$</t>
        </is>
      </c>
      <c r="D12" s="23" t="inlineStr">
        <is>
          <t>EXAMPLE - vector search / warehouse metadata calls</t>
        </is>
      </c>
    </row>
    <row r="13" ht="15" customHeight="1" s="17">
      <c r="A13" s="21" t="inlineStr">
        <is>
          <t>Validator pass cost per question</t>
        </is>
      </c>
      <c r="B13" s="26" t="n">
        <v>0.001</v>
      </c>
      <c r="C13" s="21" t="inlineStr">
        <is>
          <t>$</t>
        </is>
      </c>
      <c r="D13" s="23" t="inlineStr">
        <is>
          <t>EXAMPLE - second model call to check the answer</t>
        </is>
      </c>
    </row>
    <row r="14" ht="15" customHeight="1" s="17">
      <c r="A14" s="21" t="inlineStr">
        <is>
          <t>Cache hit rate (repeated questions)</t>
        </is>
      </c>
      <c r="B14" s="25" t="n">
        <v>0.2</v>
      </c>
      <c r="C14" s="21" t="inlineStr">
        <is>
          <t>%</t>
        </is>
      </c>
      <c r="D14" s="23" t="inlineStr">
        <is>
          <t>EXAMPLE - your estimate of question repetition</t>
        </is>
      </c>
    </row>
  </sheetData>
  <mergeCells count="1"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0" customWidth="1" style="16" min="1" max="1"/>
    <col width="18" customWidth="1" style="16" min="2" max="2"/>
    <col width="55" customWidth="1" style="16" min="3" max="3"/>
  </cols>
  <sheetData>
    <row r="1" ht="17.35" customHeight="1" s="17">
      <c r="A1" s="18" t="inlineStr">
        <is>
          <t>Cost per Answered Question</t>
        </is>
      </c>
    </row>
    <row r="2" ht="15" customHeight="1" s="17">
      <c r="A2" s="19" t="inlineStr">
        <is>
          <t>cost per question = input tokens x input rate + output tokens x output rate + retrieval overhead + validator pass</t>
        </is>
      </c>
    </row>
    <row r="4" ht="26.85" customHeight="1" s="17">
      <c r="A4" s="20" t="inlineStr">
        <is>
          <t>Scenario</t>
        </is>
      </c>
      <c r="B4" s="20" t="inlineStr">
        <is>
          <t>Cost per question</t>
        </is>
      </c>
      <c r="C4" s="20" t="inlineStr">
        <is>
          <t>Notes</t>
        </is>
      </c>
    </row>
    <row r="5" ht="15" customHeight="1" s="17">
      <c r="A5" s="21" t="inlineStr">
        <is>
          <t>Always frontier model</t>
        </is>
      </c>
      <c r="B5" s="27">
        <f>(Assumptions!$B$5/1000000*Assumptions!$B$7)+(Assumptions!$B$6/1000000*Assumptions!$B$8)+Assumptions!$B$12+Assumptions!$B$13</f>
        <v/>
      </c>
      <c r="C5" s="28" t="inlineStr">
        <is>
          <t>Every question routed to the frontier model</t>
        </is>
      </c>
    </row>
    <row r="6" ht="15" customHeight="1" s="17">
      <c r="A6" s="21" t="inlineStr">
        <is>
          <t>Cascade (cheap model for simple lookups)</t>
        </is>
      </c>
      <c r="B6" s="27">
        <f>(Assumptions!$B$11*((Assumptions!$B$5/1000000*Assumptions!$B$9)+(Assumptions!$B$6/1000000*Assumptions!$B$10)))+((1-Assumptions!$B$11)*((Assumptions!$B$5/1000000*Assumptions!$B$7)+(Assumptions!$B$6/1000000*Assumptions!$B$8)))+Assumptions!$B$12+Assumptions!$B$13</f>
        <v/>
      </c>
      <c r="C6" s="28" t="inlineStr">
        <is>
          <t>Blends cheap + frontier per the cascade % in Assumptions</t>
        </is>
      </c>
    </row>
    <row r="7" ht="15" customHeight="1" s="17">
      <c r="A7" s="21" t="inlineStr">
        <is>
          <t>Cascade + cache</t>
        </is>
      </c>
      <c r="B7" s="27">
        <f>B6*(1-Assumptions!$B$14)</f>
        <v/>
      </c>
      <c r="C7" s="28" t="inlineStr">
        <is>
          <t>Cached (repeated) questions cost ~$0 to re-serve</t>
        </is>
      </c>
    </row>
    <row r="9" ht="15" customHeight="1" s="17">
      <c r="A9" s="29" t="inlineStr">
        <is>
          <t>Savings vs. always-frontier</t>
        </is>
      </c>
      <c r="B9" s="30">
        <f>(B5-B7)/B5</f>
        <v/>
      </c>
    </row>
  </sheetData>
  <mergeCells count="1"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16" min="1" max="1"/>
    <col width="26" customWidth="1" style="16" min="2" max="3"/>
    <col width="18" customWidth="1" style="16" min="4" max="5"/>
  </cols>
  <sheetData>
    <row r="1" ht="17.35" customHeight="1" s="17">
      <c r="A1" s="18" t="inlineStr">
        <is>
          <t>Cost at Scale</t>
        </is>
      </c>
    </row>
    <row r="2" ht="15" customHeight="1" s="17">
      <c r="A2" s="19" t="inlineStr">
        <is>
          <t>Monthly cost = questions/month x cost per question (cascade + cache).</t>
        </is>
      </c>
    </row>
    <row r="4" ht="26.85" customHeight="1" s="17">
      <c r="A4" s="20" t="inlineStr">
        <is>
          <t>Questions / month</t>
        </is>
      </c>
      <c r="B4" s="20" t="inlineStr">
        <is>
          <t>Always-frontier monthly cost</t>
        </is>
      </c>
      <c r="C4" s="20" t="inlineStr">
        <is>
          <t>Cascade + cache monthly cost</t>
        </is>
      </c>
      <c r="D4" s="20" t="inlineStr">
        <is>
          <t>Monthly savings ($)</t>
        </is>
      </c>
      <c r="E4" s="20" t="inlineStr">
        <is>
          <t>Monthly savings (%)</t>
        </is>
      </c>
    </row>
    <row r="5" ht="15" customHeight="1" s="17">
      <c r="A5" s="22" t="n">
        <v>1000</v>
      </c>
      <c r="B5" s="31">
        <f>A5*'Cost per Question'!$B$5</f>
        <v/>
      </c>
      <c r="C5" s="31">
        <f>A5*'Cost per Question'!$B$7</f>
        <v/>
      </c>
      <c r="D5" s="31">
        <f>B5-C5</f>
        <v/>
      </c>
      <c r="E5" s="32">
        <f>D5/B5</f>
        <v/>
      </c>
    </row>
    <row r="6" ht="15" customHeight="1" s="17">
      <c r="A6" s="22" t="n">
        <v>10000</v>
      </c>
      <c r="B6" s="31">
        <f>A6*'Cost per Question'!$B$5</f>
        <v/>
      </c>
      <c r="C6" s="31">
        <f>A6*'Cost per Question'!$B$7</f>
        <v/>
      </c>
      <c r="D6" s="31">
        <f>B6-C6</f>
        <v/>
      </c>
      <c r="E6" s="32">
        <f>D6/B6</f>
        <v/>
      </c>
    </row>
    <row r="7" ht="15" customHeight="1" s="17">
      <c r="A7" s="22" t="n">
        <v>100000</v>
      </c>
      <c r="B7" s="31">
        <f>A7*'Cost per Question'!$B$5</f>
        <v/>
      </c>
      <c r="C7" s="31">
        <f>A7*'Cost per Question'!$B$7</f>
        <v/>
      </c>
      <c r="D7" s="31">
        <f>B7-C7</f>
        <v/>
      </c>
      <c r="E7" s="32">
        <f>D7/B7</f>
        <v/>
      </c>
    </row>
    <row r="9" ht="15" customHeight="1" s="17">
      <c r="A9" s="19" t="inlineStr">
        <is>
          <t>Note: caching repeated questions bends this curve further as volume grows - see Assumptions cache hit rate.</t>
        </is>
      </c>
    </row>
  </sheetData>
  <mergeCells count="2">
    <mergeCell ref="A2:E2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2026-07-15T23:10:59Z</dcterms:created>
  <dcterms:modified xmlns:dcterms="http://purl.org/dc/terms/" xmlns:xsi="http://www.w3.org/2001/XMLSchema-instance" xsi:type="dcterms:W3CDTF">2026-09-10T01:21:17Z</dcterms:modified>
  <cp:revision>0</cp:revision>
</cp:coreProperties>
</file>